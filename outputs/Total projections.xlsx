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harvamane/Downloads/UNI/ACTL4001/SOA_2026_Case_Study_Materials/outputs/"/>
    </mc:Choice>
  </mc:AlternateContent>
  <xr:revisionPtr revIDLastSave="0" documentId="8_{06549155-DB23-A045-B50A-0E6E1176FF8D}" xr6:coauthVersionLast="47" xr6:coauthVersionMax="47" xr10:uidLastSave="{00000000-0000-0000-0000-000000000000}"/>
  <bookViews>
    <workbookView xWindow="1040" yWindow="620" windowWidth="28040" windowHeight="15920" activeTab="1" xr2:uid="{12956BBB-D9B0-4748-BA69-285215C8820B}"/>
  </bookViews>
  <sheets>
    <sheet name="Total" sheetId="5" r:id="rId1"/>
    <sheet name="Sheet6" sheetId="6" r:id="rId2"/>
    <sheet name="BI" sheetId="1" r:id="rId3"/>
    <sheet name="CL_no_gold_plat" sheetId="2" r:id="rId4"/>
    <sheet name="EF" sheetId="3" r:id="rId5"/>
    <sheet name="WC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6" l="1"/>
  <c r="D13" i="6"/>
  <c r="E13" i="6"/>
  <c r="F13" i="6"/>
  <c r="G13" i="6"/>
  <c r="H13" i="6"/>
  <c r="I13" i="6"/>
  <c r="J13" i="6"/>
  <c r="K13" i="6"/>
  <c r="B13" i="6"/>
  <c r="C12" i="6"/>
  <c r="D12" i="6"/>
  <c r="E12" i="6"/>
  <c r="F12" i="6"/>
  <c r="G12" i="6"/>
  <c r="H12" i="6"/>
  <c r="I12" i="6"/>
  <c r="J12" i="6"/>
  <c r="K12" i="6"/>
  <c r="B12" i="6"/>
  <c r="C9" i="6"/>
  <c r="D9" i="6"/>
  <c r="E9" i="6"/>
  <c r="F9" i="6"/>
  <c r="G9" i="6"/>
  <c r="H9" i="6"/>
  <c r="I9" i="6"/>
  <c r="J9" i="6"/>
  <c r="K9" i="6"/>
  <c r="B9" i="6"/>
  <c r="K11" i="6"/>
  <c r="J11" i="6"/>
  <c r="I11" i="6"/>
  <c r="H11" i="6"/>
  <c r="G11" i="6"/>
  <c r="F11" i="6"/>
  <c r="E11" i="6"/>
  <c r="D11" i="6"/>
  <c r="C11" i="6"/>
  <c r="B11" i="6"/>
  <c r="K10" i="6"/>
  <c r="J10" i="6"/>
  <c r="I10" i="6"/>
  <c r="H10" i="6"/>
  <c r="G10" i="6"/>
  <c r="F10" i="6"/>
  <c r="E10" i="6"/>
  <c r="D10" i="6"/>
  <c r="C10" i="6"/>
  <c r="B10" i="6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6" i="6"/>
  <c r="B6" i="6"/>
  <c r="K5" i="6"/>
  <c r="J5" i="6"/>
  <c r="I5" i="6"/>
  <c r="H5" i="6"/>
  <c r="G5" i="6"/>
  <c r="F5" i="6"/>
  <c r="E5" i="6"/>
  <c r="D5" i="6"/>
  <c r="C5" i="6"/>
  <c r="B5" i="6"/>
  <c r="K4" i="6"/>
  <c r="J4" i="6"/>
  <c r="I4" i="6"/>
  <c r="H4" i="6"/>
  <c r="G4" i="6"/>
  <c r="F4" i="6"/>
  <c r="E4" i="6"/>
  <c r="D4" i="6"/>
  <c r="C4" i="6"/>
  <c r="B4" i="6"/>
  <c r="D3" i="5"/>
  <c r="E3" i="5"/>
  <c r="F3" i="5"/>
  <c r="G3" i="5"/>
  <c r="H3" i="5"/>
  <c r="I3" i="5"/>
  <c r="J3" i="5"/>
  <c r="K3" i="5"/>
  <c r="L3" i="5"/>
  <c r="M3" i="5"/>
  <c r="D4" i="5"/>
  <c r="E4" i="5"/>
  <c r="F4" i="5"/>
  <c r="G4" i="5"/>
  <c r="H4" i="5"/>
  <c r="I4" i="5"/>
  <c r="J4" i="5"/>
  <c r="K4" i="5"/>
  <c r="L4" i="5"/>
  <c r="M4" i="5"/>
  <c r="D5" i="5"/>
  <c r="E5" i="5"/>
  <c r="F5" i="5"/>
  <c r="G5" i="5"/>
  <c r="H5" i="5"/>
  <c r="I5" i="5"/>
  <c r="J5" i="5"/>
  <c r="K5" i="5"/>
  <c r="L5" i="5"/>
  <c r="M5" i="5"/>
  <c r="D6" i="5"/>
  <c r="E6" i="5"/>
  <c r="F6" i="5"/>
  <c r="G6" i="5"/>
  <c r="H6" i="5"/>
  <c r="I6" i="5"/>
  <c r="J6" i="5"/>
  <c r="K6" i="5"/>
  <c r="L6" i="5"/>
  <c r="M6" i="5"/>
  <c r="D7" i="5"/>
  <c r="E7" i="5"/>
  <c r="F7" i="5"/>
  <c r="G7" i="5"/>
  <c r="H7" i="5"/>
  <c r="I7" i="5"/>
  <c r="J7" i="5"/>
  <c r="K7" i="5"/>
  <c r="L7" i="5"/>
  <c r="M7" i="5"/>
  <c r="D8" i="5"/>
  <c r="E8" i="5"/>
  <c r="F8" i="5"/>
  <c r="G8" i="5"/>
  <c r="H8" i="5"/>
  <c r="I8" i="5"/>
  <c r="J8" i="5"/>
  <c r="K8" i="5"/>
  <c r="L8" i="5"/>
  <c r="M8" i="5"/>
  <c r="D9" i="5"/>
  <c r="E9" i="5"/>
  <c r="F9" i="5"/>
  <c r="G9" i="5"/>
  <c r="H9" i="5"/>
  <c r="I9" i="5"/>
  <c r="J9" i="5"/>
  <c r="K9" i="5"/>
  <c r="L9" i="5"/>
  <c r="M9" i="5"/>
  <c r="D10" i="5"/>
  <c r="E10" i="5"/>
  <c r="F10" i="5"/>
  <c r="G10" i="5"/>
  <c r="H10" i="5"/>
  <c r="I10" i="5"/>
  <c r="J10" i="5"/>
  <c r="K10" i="5"/>
  <c r="L10" i="5"/>
  <c r="M10" i="5"/>
  <c r="D11" i="5"/>
  <c r="E11" i="5"/>
  <c r="F11" i="5"/>
  <c r="G11" i="5"/>
  <c r="H11" i="5"/>
  <c r="I11" i="5"/>
  <c r="J11" i="5"/>
  <c r="K11" i="5"/>
  <c r="L11" i="5"/>
  <c r="M11" i="5"/>
  <c r="E2" i="5"/>
  <c r="F2" i="5"/>
  <c r="G2" i="5"/>
  <c r="H2" i="5"/>
  <c r="I2" i="5"/>
  <c r="J2" i="5"/>
  <c r="K2" i="5"/>
  <c r="L2" i="5"/>
  <c r="M2" i="5"/>
  <c r="D2" i="5"/>
</calcChain>
</file>

<file path=xl/sharedStrings.xml><?xml version="1.0" encoding="utf-8"?>
<sst xmlns="http://schemas.openxmlformats.org/spreadsheetml/2006/main" count="78" uniqueCount="13">
  <si>
    <t>year</t>
  </si>
  <si>
    <t>inflation</t>
  </si>
  <si>
    <t>risk_free_rate</t>
  </si>
  <si>
    <t>premium_forecast</t>
  </si>
  <si>
    <t>loss_forecast</t>
  </si>
  <si>
    <t>operating_expenses</t>
  </si>
  <si>
    <t>operating_income</t>
  </si>
  <si>
    <t>net_income</t>
  </si>
  <si>
    <t>discount_factor</t>
  </si>
  <si>
    <t>pv_premium</t>
  </si>
  <si>
    <t>pv_loss</t>
  </si>
  <si>
    <t>pv_expense</t>
  </si>
  <si>
    <t>pv_net_income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</si>
</sst>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EEDE-CE63-E04D-B364-F219EF042341}">
  <dimension ref="A1:M11"/>
  <sheetViews>
    <sheetView workbookViewId="0">
      <selection activeCell="C16" sqref="C16"/>
    </sheetView>
  </sheetViews>
  <sheetFormatPr baseColWidth="10" defaultRowHeight="16" x14ac:dyDescent="0.2"/>
  <cols>
    <col min="4" max="4" width="15.83203125" bestFit="1" customWidth="1"/>
    <col min="5" max="5" width="12.1640625" bestFit="1" customWidth="1"/>
    <col min="10" max="11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2175</v>
      </c>
      <c r="B2">
        <v>2.28254284552976E-2</v>
      </c>
      <c r="C2">
        <v>4.85268733930731E-2</v>
      </c>
      <c r="D2">
        <f>SUM(BI!D20+CL_no_gold_plat!D28+EF!D2+WC!D22)/1000000</f>
        <v>2.49543363269003E-8</v>
      </c>
      <c r="E2">
        <f>SUM(BI!E20+CL_no_gold_plat!E28+EF!E2+WC!E22)/1000000</f>
        <v>2.5685141428298901E-8</v>
      </c>
      <c r="F2">
        <f>SUM(BI!F20+CL_no_gold_plat!F28+EF!F2+WC!F22)/1000000</f>
        <v>2.5714643313314199E-8</v>
      </c>
      <c r="G2">
        <f>SUM(BI!G20+CL_no_gold_plat!G28+EF!G2+WC!G22)/1000000</f>
        <v>2.5385924915905301E-8</v>
      </c>
      <c r="H2">
        <f>SUM(BI!H20+CL_no_gold_plat!H28+EF!H2+WC!H22)/1000000</f>
        <v>2.50783826753864E-8</v>
      </c>
      <c r="I2">
        <f>SUM(BI!I20+CL_no_gold_plat!I28+EF!I2+WC!I22)/1000000</f>
        <v>2.49637566217732E-8</v>
      </c>
      <c r="J2">
        <f>SUM(BI!J20+CL_no_gold_plat!J28+EF!J2+WC!J22)/1000000</f>
        <v>2.5010920125667501E-8</v>
      </c>
      <c r="K2">
        <f>SUM(BI!K20+CL_no_gold_plat!K28+EF!K2+WC!K22)/1000000</f>
        <v>2.51086756228007E-8</v>
      </c>
      <c r="L2">
        <f>SUM(BI!L20+CL_no_gold_plat!L28+EF!L2+WC!L22)/1000000</f>
        <v>0</v>
      </c>
      <c r="M2">
        <f>SUM(BI!M20+CL_no_gold_plat!M28+EF!M2+WC!M22)/1000000</f>
        <v>0</v>
      </c>
    </row>
    <row r="3" spans="1:13" x14ac:dyDescent="0.2">
      <c r="A3">
        <v>2176</v>
      </c>
      <c r="B3">
        <v>2.3673261281287501E-2</v>
      </c>
      <c r="C3">
        <v>4.19596930992494E-2</v>
      </c>
      <c r="D3">
        <f>SUM(BI!D21+CL_no_gold_plat!D29+EF!D3+WC!D23)/1000000</f>
        <v>3.8102759485227403E-8</v>
      </c>
      <c r="E3">
        <f>SUM(BI!E21+CL_no_gold_plat!E29+EF!E3+WC!E23)/1000000</f>
        <v>3.5837565560680698E-8</v>
      </c>
      <c r="F3">
        <f>SUM(BI!F21+CL_no_gold_plat!F29+EF!F3+WC!F23)/1000000</f>
        <v>3.4507207294427596E-8</v>
      </c>
      <c r="G3">
        <f>SUM(BI!G21+CL_no_gold_plat!G29+EF!G3+WC!G23)/1000000</f>
        <v>3.3725882085398599E-8</v>
      </c>
      <c r="H3">
        <f>SUM(BI!H21+CL_no_gold_plat!H29+EF!H3+WC!H23)/1000000</f>
        <v>3.3267006384205898E-8</v>
      </c>
      <c r="I3">
        <f>SUM(BI!I21+CL_no_gold_plat!I29+EF!I3+WC!I23)/1000000</f>
        <v>3.2997506684578E-8</v>
      </c>
      <c r="J3">
        <f>SUM(BI!J21+CL_no_gold_plat!J29+EF!J3+WC!J23)/1000000</f>
        <v>3.28392283361914E-8</v>
      </c>
      <c r="K3">
        <f>SUM(BI!K21+CL_no_gold_plat!K29+EF!K3+WC!K23)/1000000</f>
        <v>3.2746270772221602E-8</v>
      </c>
      <c r="L3">
        <f>SUM(BI!L21+CL_no_gold_plat!L29+EF!L3+WC!L23)/1000000</f>
        <v>0</v>
      </c>
      <c r="M3">
        <f>SUM(BI!M21+CL_no_gold_plat!M29+EF!M3+WC!M23)/1000000</f>
        <v>0</v>
      </c>
    </row>
    <row r="4" spans="1:13" x14ac:dyDescent="0.2">
      <c r="A4">
        <v>2177</v>
      </c>
      <c r="B4">
        <v>2.4954336326900299E-2</v>
      </c>
      <c r="C4">
        <v>3.81027594852274E-2</v>
      </c>
      <c r="D4">
        <f>SUM(BI!D22+CL_no_gold_plat!D30+EF!D4+WC!D24)/1000000</f>
        <v>451.537493461341</v>
      </c>
      <c r="E4">
        <f>SUM(BI!E22+CL_no_gold_plat!E30+EF!E4+WC!E24)/1000000</f>
        <v>463.13529784107499</v>
      </c>
      <c r="F4">
        <f>SUM(BI!F22+CL_no_gold_plat!F30+EF!F4+WC!F24)/1000000</f>
        <v>475.04465683086403</v>
      </c>
      <c r="G4">
        <f>SUM(BI!G22+CL_no_gold_plat!G30+EF!G4+WC!G24)/1000000</f>
        <v>487.104104820874</v>
      </c>
      <c r="H4">
        <f>SUM(BI!H22+CL_no_gold_plat!H30+EF!H4+WC!H24)/1000000</f>
        <v>499.31988796432398</v>
      </c>
      <c r="I4">
        <f>SUM(BI!I22+CL_no_gold_plat!I30+EF!I4+WC!I24)/1000000</f>
        <v>511.78478812387596</v>
      </c>
      <c r="J4">
        <f>SUM(BI!J22+CL_no_gold_plat!J30+EF!J4+WC!J24)/1000000</f>
        <v>524.58499658117398</v>
      </c>
      <c r="K4">
        <f>SUM(BI!K22+CL_no_gold_plat!K30+EF!K4+WC!K24)/1000000</f>
        <v>537.75663109691891</v>
      </c>
      <c r="L4">
        <f>SUM(BI!L22+CL_no_gold_plat!L30+EF!L4+WC!L24)/1000000</f>
        <v>0</v>
      </c>
      <c r="M4">
        <f>SUM(BI!M22+CL_no_gold_plat!M30+EF!M4+WC!M24)/1000000</f>
        <v>0</v>
      </c>
    </row>
    <row r="5" spans="1:13" x14ac:dyDescent="0.2">
      <c r="A5">
        <v>2178</v>
      </c>
      <c r="B5">
        <v>2.5685141428298901E-2</v>
      </c>
      <c r="C5">
        <v>3.5837565560680698E-2</v>
      </c>
      <c r="D5">
        <f>SUM(BI!D23+CL_no_gold_plat!D31+EF!D5+WC!D25)/1000000</f>
        <v>272.39228948479303</v>
      </c>
      <c r="E5">
        <f>SUM(BI!E23+CL_no_gold_plat!E31+EF!E5+WC!E25)/1000000</f>
        <v>279.38872396418799</v>
      </c>
      <c r="F5">
        <f>SUM(BI!F23+CL_no_gold_plat!F31+EF!F5+WC!F25)/1000000</f>
        <v>286.57310534668898</v>
      </c>
      <c r="G5">
        <f>SUM(BI!G23+CL_no_gold_plat!G31+EF!G5+WC!G25)/1000000</f>
        <v>293.84802868193799</v>
      </c>
      <c r="H5">
        <f>SUM(BI!H23+CL_no_gold_plat!H31+EF!H5+WC!H25)/1000000</f>
        <v>301.21726199363201</v>
      </c>
      <c r="I5">
        <f>SUM(BI!I23+CL_no_gold_plat!I31+EF!I5+WC!I25)/1000000</f>
        <v>308.73677641231797</v>
      </c>
      <c r="J5">
        <f>SUM(BI!J23+CL_no_gold_plat!J31+EF!J5+WC!J25)/1000000</f>
        <v>316.45856726702203</v>
      </c>
      <c r="K5">
        <f>SUM(BI!K23+CL_no_gold_plat!K31+EF!K5+WC!K25)/1000000</f>
        <v>324.404422780586</v>
      </c>
      <c r="L5">
        <f>SUM(BI!L23+CL_no_gold_plat!L31+EF!L5+WC!L25)/1000000</f>
        <v>0</v>
      </c>
      <c r="M5">
        <f>SUM(BI!M23+CL_no_gold_plat!M31+EF!M5+WC!M25)/1000000</f>
        <v>0</v>
      </c>
    </row>
    <row r="6" spans="1:13" x14ac:dyDescent="0.2">
      <c r="A6">
        <v>2179</v>
      </c>
      <c r="B6">
        <v>2.57146433133142E-2</v>
      </c>
      <c r="C6">
        <v>3.4507207294427598E-2</v>
      </c>
      <c r="D6">
        <f>SUM(BI!D24+CL_no_gold_plat!D32+EF!D6+WC!D26)/1000000</f>
        <v>135.461248038402</v>
      </c>
      <c r="E6">
        <f>SUM(BI!E24+CL_no_gold_plat!E32+EF!E6+WC!E26)/1000000</f>
        <v>138.940589352323</v>
      </c>
      <c r="F6">
        <f>SUM(BI!F24+CL_no_gold_plat!F32+EF!F6+WC!F26)/1000000</f>
        <v>142.513397049259</v>
      </c>
      <c r="G6">
        <f>SUM(BI!G24+CL_no_gold_plat!G32+EF!G6+WC!G26)/1000000</f>
        <v>146.13123144626201</v>
      </c>
      <c r="H6">
        <f>SUM(BI!H24+CL_no_gold_plat!H32+EF!H6+WC!H26)/1000000</f>
        <v>149.79596638929701</v>
      </c>
      <c r="I6">
        <f>SUM(BI!I24+CL_no_gold_plat!I32+EF!I6+WC!I26)/1000000</f>
        <v>153.53543643716299</v>
      </c>
      <c r="J6">
        <f>SUM(BI!J24+CL_no_gold_plat!J32+EF!J6+WC!J26)/1000000</f>
        <v>157.37549897435201</v>
      </c>
      <c r="K6">
        <f>SUM(BI!K24+CL_no_gold_plat!K32+EF!K6+WC!K26)/1000000</f>
        <v>161.32698932907599</v>
      </c>
      <c r="L6">
        <f>SUM(BI!L24+CL_no_gold_plat!L32+EF!L6+WC!L26)/1000000</f>
        <v>0</v>
      </c>
      <c r="M6">
        <f>SUM(BI!M24+CL_no_gold_plat!M32+EF!M6+WC!M26)/1000000</f>
        <v>0</v>
      </c>
    </row>
    <row r="7" spans="1:13" x14ac:dyDescent="0.2">
      <c r="A7">
        <v>2180</v>
      </c>
      <c r="B7">
        <v>2.53859249159053E-2</v>
      </c>
      <c r="C7">
        <v>3.3725882085398597E-2</v>
      </c>
      <c r="D7">
        <f>SUM(BI!D25+CL_no_gold_plat!D33+EF!D7+WC!D27)/1000000</f>
        <v>131.50629716994501</v>
      </c>
      <c r="E7">
        <f>SUM(BI!E25+CL_no_gold_plat!E33+EF!E7+WC!E27)/1000000</f>
        <v>134.88405501146701</v>
      </c>
      <c r="F7">
        <f>SUM(BI!F25+CL_no_gold_plat!F33+EF!F7+WC!F27)/1000000</f>
        <v>138.35255037473999</v>
      </c>
      <c r="G7">
        <f>SUM(BI!G25+CL_no_gold_plat!G33+EF!G7+WC!G27)/1000000</f>
        <v>141.864757830477</v>
      </c>
      <c r="H7">
        <f>SUM(BI!H25+CL_no_gold_plat!H33+EF!H7+WC!H27)/1000000</f>
        <v>145.422496515501</v>
      </c>
      <c r="I7">
        <f>SUM(BI!I25+CL_no_gold_plat!I33+EF!I7+WC!I27)/1000000</f>
        <v>149.052788325845</v>
      </c>
      <c r="J7">
        <f>SUM(BI!J25+CL_no_gold_plat!J33+EF!J7+WC!J27)/1000000</f>
        <v>152.78073570917002</v>
      </c>
      <c r="K7">
        <f>SUM(BI!K25+CL_no_gold_plat!K33+EF!K7+WC!K27)/1000000</f>
        <v>156.616857643505</v>
      </c>
      <c r="L7">
        <f>SUM(BI!L25+CL_no_gold_plat!L33+EF!L7+WC!L27)/1000000</f>
        <v>0</v>
      </c>
      <c r="M7">
        <f>SUM(BI!M25+CL_no_gold_plat!M33+EF!M7+WC!M27)/1000000</f>
        <v>0</v>
      </c>
    </row>
    <row r="8" spans="1:13" x14ac:dyDescent="0.2">
      <c r="A8">
        <v>2181</v>
      </c>
      <c r="B8">
        <v>2.5078382675386399E-2</v>
      </c>
      <c r="C8">
        <v>3.3267006384205898E-2</v>
      </c>
      <c r="D8">
        <f>SUM(BI!D26+CL_no_gold_plat!D34+EF!D8+WC!D28)/1000000</f>
        <v>97.445367258416212</v>
      </c>
      <c r="E8">
        <f>SUM(BI!E26+CL_no_gold_plat!E34+EF!E8+WC!E28)/1000000</f>
        <v>99.948265297981095</v>
      </c>
      <c r="F8">
        <f>SUM(BI!F26+CL_no_gold_plat!F34+EF!F8+WC!F28)/1000000</f>
        <v>102.518399289903</v>
      </c>
      <c r="G8">
        <f>SUM(BI!G26+CL_no_gold_plat!G34+EF!G8+WC!G28)/1000000</f>
        <v>105.12092367677499</v>
      </c>
      <c r="H8">
        <f>SUM(BI!H26+CL_no_gold_plat!H34+EF!H8+WC!H28)/1000000</f>
        <v>107.757186427932</v>
      </c>
      <c r="I8">
        <f>SUM(BI!I26+CL_no_gold_plat!I34+EF!I8+WC!I28)/1000000</f>
        <v>110.447210604166</v>
      </c>
      <c r="J8">
        <f>SUM(BI!J26+CL_no_gold_plat!J34+EF!J8+WC!J28)/1000000</f>
        <v>113.20959696668901</v>
      </c>
      <c r="K8">
        <f>SUM(BI!K26+CL_no_gold_plat!K34+EF!K8+WC!K28)/1000000</f>
        <v>116.05214001431399</v>
      </c>
      <c r="L8">
        <f>SUM(BI!L26+CL_no_gold_plat!L34+EF!L8+WC!L28)/1000000</f>
        <v>0</v>
      </c>
      <c r="M8">
        <f>SUM(BI!M26+CL_no_gold_plat!M34+EF!M8+WC!M28)/1000000</f>
        <v>0</v>
      </c>
    </row>
    <row r="9" spans="1:13" x14ac:dyDescent="0.2">
      <c r="A9">
        <v>2182</v>
      </c>
      <c r="B9">
        <v>2.4963756621773199E-2</v>
      </c>
      <c r="C9">
        <v>3.2997506684578001E-2</v>
      </c>
      <c r="D9">
        <f>SUM(BI!D27+CL_no_gold_plat!D35+EF!D9+WC!D29)/1000000</f>
        <v>8.8171690920872702E-7</v>
      </c>
      <c r="E9">
        <f>SUM(BI!E27+CL_no_gold_plat!E35+EF!E9+WC!E29)/1000000</f>
        <v>8.5121155915162207E-7</v>
      </c>
      <c r="F9">
        <f>SUM(BI!F27+CL_no_gold_plat!F35+EF!F9+WC!F29)/1000000</f>
        <v>8.2281839425538298E-7</v>
      </c>
      <c r="G9">
        <f>SUM(BI!G27+CL_no_gold_plat!G35+EF!G9+WC!G29)/1000000</f>
        <v>7.9597348631289095E-7</v>
      </c>
      <c r="H9">
        <f>SUM(BI!H27+CL_no_gold_plat!H35+EF!H9+WC!H29)/1000000</f>
        <v>7.70346368745776E-7</v>
      </c>
      <c r="I9">
        <f>SUM(BI!I27+CL_no_gold_plat!I35+EF!I9+WC!I29)/1000000</f>
        <v>7.4573884618387402E-7</v>
      </c>
      <c r="J9">
        <f>SUM(BI!J27+CL_no_gold_plat!J35+EF!J9+WC!J29)/1000000</f>
        <v>7.2202800370507803E-7</v>
      </c>
      <c r="K9">
        <f>SUM(BI!K27+CL_no_gold_plat!K35+EF!K9+WC!K29)/1000000</f>
        <v>6.9913397330904103E-7</v>
      </c>
      <c r="L9">
        <f>SUM(BI!L27+CL_no_gold_plat!L35+EF!L9+WC!L29)/1000000</f>
        <v>0</v>
      </c>
      <c r="M9">
        <f>SUM(BI!M27+CL_no_gold_plat!M35+EF!M9+WC!M29)/1000000</f>
        <v>0</v>
      </c>
    </row>
    <row r="10" spans="1:13" x14ac:dyDescent="0.2">
      <c r="A10">
        <v>2183</v>
      </c>
      <c r="B10">
        <v>2.50109201256675E-2</v>
      </c>
      <c r="C10">
        <v>3.2839228336191399E-2</v>
      </c>
      <c r="D10">
        <f>SUM(BI!D28+CL_no_gold_plat!D36+EF!D10+WC!D30)/1000000</f>
        <v>398.12824312659001</v>
      </c>
      <c r="E10">
        <f>SUM(BI!E28+CL_no_gold_plat!E36+EF!E10+WC!E30)/1000000</f>
        <v>394.22611897345297</v>
      </c>
      <c r="F10">
        <f>SUM(BI!F28+CL_no_gold_plat!F36+EF!F10+WC!F30)/1000000</f>
        <v>390.875481733171</v>
      </c>
      <c r="G10">
        <f>SUM(BI!G28+CL_no_gold_plat!G36+EF!G10+WC!G30)/1000000</f>
        <v>387.72195251159104</v>
      </c>
      <c r="H10">
        <f>SUM(BI!H28+CL_no_gold_plat!H36+EF!H10+WC!H30)/1000000</f>
        <v>384.64926253586401</v>
      </c>
      <c r="I10">
        <f>SUM(BI!I28+CL_no_gold_plat!I36+EF!I10+WC!I30)/1000000</f>
        <v>381.65779738995803</v>
      </c>
      <c r="J10">
        <f>SUM(BI!J28+CL_no_gold_plat!J36+EF!J10+WC!J30)/1000000</f>
        <v>378.76505785513996</v>
      </c>
      <c r="K10">
        <f>SUM(BI!K28+CL_no_gold_plat!K36+EF!K10+WC!K30)/1000000</f>
        <v>375.96393017207299</v>
      </c>
      <c r="L10">
        <f>SUM(BI!L28+CL_no_gold_plat!L36+EF!L10+WC!L30)/1000000</f>
        <v>0</v>
      </c>
      <c r="M10">
        <f>SUM(BI!M28+CL_no_gold_plat!M36+EF!M10+WC!M30)/1000000</f>
        <v>0</v>
      </c>
    </row>
    <row r="11" spans="1:13" x14ac:dyDescent="0.2">
      <c r="A11">
        <v>2184</v>
      </c>
      <c r="B11">
        <v>2.51086756228007E-2</v>
      </c>
      <c r="C11">
        <v>3.27462707722216E-2</v>
      </c>
      <c r="D11">
        <f>SUM(BI!D29+CL_no_gold_plat!D37+EF!D11+WC!D31)/1000000</f>
        <v>240.17288757682101</v>
      </c>
      <c r="E11">
        <f>SUM(BI!E29+CL_no_gold_plat!E37+EF!E11+WC!E31)/1000000</f>
        <v>237.818911334939</v>
      </c>
      <c r="F11">
        <f>SUM(BI!F29+CL_no_gold_plat!F37+EF!F11+WC!F31)/1000000</f>
        <v>235.79762237814199</v>
      </c>
      <c r="G11">
        <f>SUM(BI!G29+CL_no_gold_plat!G37+EF!G11+WC!G31)/1000000</f>
        <v>233.89523983613302</v>
      </c>
      <c r="H11">
        <f>SUM(BI!H29+CL_no_gold_plat!H37+EF!H11+WC!H31)/1000000</f>
        <v>232.04162398033898</v>
      </c>
      <c r="I11">
        <f>SUM(BI!I29+CL_no_gold_plat!I37+EF!I11+WC!I31)/1000000</f>
        <v>230.23700741624998</v>
      </c>
      <c r="J11">
        <f>SUM(BI!J29+CL_no_gold_plat!J37+EF!J11+WC!J31)/1000000</f>
        <v>228.49194757917698</v>
      </c>
      <c r="K11">
        <f>SUM(BI!K29+CL_no_gold_plat!K37+EF!K11+WC!K31)/1000000</f>
        <v>226.80215305761701</v>
      </c>
      <c r="L11">
        <f>SUM(BI!L29+CL_no_gold_plat!L37+EF!L11+WC!L31)/1000000</f>
        <v>0</v>
      </c>
      <c r="M11">
        <f>SUM(BI!M29+CL_no_gold_plat!M37+EF!M11+WC!M31)/1000000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5D7C-7611-2747-8E97-EB3FD275CB76}">
  <dimension ref="A1:K13"/>
  <sheetViews>
    <sheetView tabSelected="1" workbookViewId="0">
      <selection activeCell="H10" sqref="H10:K13"/>
    </sheetView>
  </sheetViews>
  <sheetFormatPr baseColWidth="10" defaultRowHeight="16" x14ac:dyDescent="0.2"/>
  <cols>
    <col min="1" max="1" width="17.33203125" bestFit="1" customWidth="1"/>
    <col min="2" max="11" width="12.1640625" bestFit="1" customWidth="1"/>
  </cols>
  <sheetData>
    <row r="1" spans="1:11" x14ac:dyDescent="0.2">
      <c r="A1" t="s">
        <v>0</v>
      </c>
      <c r="B1">
        <v>2175</v>
      </c>
      <c r="C1">
        <v>2176</v>
      </c>
      <c r="D1">
        <v>2177</v>
      </c>
      <c r="E1">
        <v>2178</v>
      </c>
      <c r="F1">
        <v>2179</v>
      </c>
      <c r="G1">
        <v>2180</v>
      </c>
      <c r="H1">
        <v>2181</v>
      </c>
      <c r="I1">
        <v>2182</v>
      </c>
      <c r="J1">
        <v>2183</v>
      </c>
      <c r="K1">
        <v>2184</v>
      </c>
    </row>
    <row r="2" spans="1:11" x14ac:dyDescent="0.2">
      <c r="A2" t="s">
        <v>1</v>
      </c>
      <c r="B2" s="1">
        <v>2.28254284552976E-2</v>
      </c>
      <c r="C2" s="1">
        <v>2.3673261281287501E-2</v>
      </c>
      <c r="D2" s="1">
        <v>2.4954336326900299E-2</v>
      </c>
      <c r="E2" s="1">
        <v>2.5685141428298901E-2</v>
      </c>
      <c r="F2" s="1">
        <v>2.57146433133142E-2</v>
      </c>
      <c r="G2" s="1">
        <v>2.53859249159053E-2</v>
      </c>
      <c r="H2" s="1">
        <v>2.5078382675386399E-2</v>
      </c>
      <c r="I2" s="1">
        <v>2.4963756621773199E-2</v>
      </c>
      <c r="J2" s="1">
        <v>2.50109201256675E-2</v>
      </c>
      <c r="K2" s="1">
        <v>2.51086756228007E-2</v>
      </c>
    </row>
    <row r="3" spans="1:11" x14ac:dyDescent="0.2">
      <c r="A3" t="s">
        <v>2</v>
      </c>
      <c r="B3" s="1">
        <v>4.85268733930731E-2</v>
      </c>
      <c r="C3" s="1">
        <v>4.19596930992494E-2</v>
      </c>
      <c r="D3" s="1">
        <v>3.81027594852274E-2</v>
      </c>
      <c r="E3" s="1">
        <v>3.5837565560680698E-2</v>
      </c>
      <c r="F3" s="1">
        <v>3.4507207294427598E-2</v>
      </c>
      <c r="G3" s="1">
        <v>3.3725882085398597E-2</v>
      </c>
      <c r="H3" s="1">
        <v>3.3267006384205898E-2</v>
      </c>
      <c r="I3" s="1">
        <v>3.2997506684578001E-2</v>
      </c>
      <c r="J3" s="1">
        <v>3.2839228336191399E-2</v>
      </c>
      <c r="K3" s="1">
        <v>3.27462707722216E-2</v>
      </c>
    </row>
    <row r="4" spans="1:11" x14ac:dyDescent="0.2">
      <c r="A4" t="s">
        <v>3</v>
      </c>
      <c r="B4" s="1">
        <f>SUM(BI!B22+CL_no_gold_plat!B30+EF!B4+WC!B24)/1000000</f>
        <v>430.35607818446897</v>
      </c>
      <c r="C4" s="1">
        <f>SUM(BI!C22+CL_no_gold_plat!C30+EF!C4+WC!C24)/1000000</f>
        <v>440.54401006732002</v>
      </c>
      <c r="D4" s="1">
        <f>SUM(BI!D22+CL_no_gold_plat!D30+EF!D4+WC!D24)/1000000</f>
        <v>451.537493461341</v>
      </c>
      <c r="E4" s="1">
        <f>SUM(BI!E22+CL_no_gold_plat!E30+EF!E4+WC!E24)/1000000</f>
        <v>463.13529784107499</v>
      </c>
      <c r="F4" s="1">
        <f>SUM(BI!F22+CL_no_gold_plat!F30+EF!F4+WC!F24)/1000000</f>
        <v>475.04465683086403</v>
      </c>
      <c r="G4" s="1">
        <f>SUM(BI!G22+CL_no_gold_plat!G30+EF!G4+WC!G24)/1000000</f>
        <v>487.104104820874</v>
      </c>
      <c r="H4" s="1">
        <f>SUM(BI!H22+CL_no_gold_plat!H30+EF!H4+WC!H24)/1000000</f>
        <v>499.31988796432398</v>
      </c>
      <c r="I4" s="1">
        <f>SUM(BI!I22+CL_no_gold_plat!I30+EF!I4+WC!I24)/1000000</f>
        <v>511.78478812387596</v>
      </c>
      <c r="J4" s="1">
        <f>SUM(BI!J22+CL_no_gold_plat!J30+EF!J4+WC!J24)/1000000</f>
        <v>524.58499658117398</v>
      </c>
      <c r="K4" s="1">
        <f>SUM(BI!K22+CL_no_gold_plat!K30+EF!K4+WC!K24)/1000000</f>
        <v>537.75663109691891</v>
      </c>
    </row>
    <row r="5" spans="1:11" x14ac:dyDescent="0.2">
      <c r="A5" t="s">
        <v>4</v>
      </c>
      <c r="B5" s="1">
        <f>SUM(BI!B23+CL_no_gold_plat!B31+EF!B5+WC!B25)/1000000</f>
        <v>259.614492988721</v>
      </c>
      <c r="C5" s="1">
        <f>SUM(BI!C23+CL_no_gold_plat!C31+EF!C5+WC!C25)/1000000</f>
        <v>265.76041471365204</v>
      </c>
      <c r="D5" s="1">
        <f>SUM(BI!D23+CL_no_gold_plat!D31+EF!D5+WC!D25)/1000000</f>
        <v>272.39228948479303</v>
      </c>
      <c r="E5" s="1">
        <f>SUM(BI!E23+CL_no_gold_plat!E31+EF!E5+WC!E25)/1000000</f>
        <v>279.38872396418799</v>
      </c>
      <c r="F5" s="1">
        <f>SUM(BI!F23+CL_no_gold_plat!F31+EF!F5+WC!F25)/1000000</f>
        <v>286.57310534668898</v>
      </c>
      <c r="G5" s="1">
        <f>SUM(BI!G23+CL_no_gold_plat!G31+EF!G5+WC!G25)/1000000</f>
        <v>293.84802868193799</v>
      </c>
      <c r="H5" s="1">
        <f>SUM(BI!H23+CL_no_gold_plat!H31+EF!H5+WC!H25)/1000000</f>
        <v>301.21726199363201</v>
      </c>
      <c r="I5" s="1">
        <f>SUM(BI!I23+CL_no_gold_plat!I31+EF!I5+WC!I25)/1000000</f>
        <v>308.73677641231797</v>
      </c>
      <c r="J5" s="1">
        <f>SUM(BI!J23+CL_no_gold_plat!J31+EF!J5+WC!J25)/1000000</f>
        <v>316.45856726702203</v>
      </c>
      <c r="K5" s="1">
        <f>SUM(BI!K23+CL_no_gold_plat!K31+EF!K5+WC!K25)/1000000</f>
        <v>324.404422780586</v>
      </c>
    </row>
    <row r="6" spans="1:11" x14ac:dyDescent="0.2">
      <c r="A6" t="s">
        <v>5</v>
      </c>
      <c r="B6" s="1">
        <f>SUM(BI!B24+CL_no_gold_plat!B32+EF!B6+WC!B26)/1000000</f>
        <v>129.10682345534099</v>
      </c>
      <c r="C6" s="1">
        <f>SUM(BI!C24+CL_no_gold_plat!C32+EF!C6+WC!C26)/1000000</f>
        <v>132.16320302019599</v>
      </c>
      <c r="D6" s="1">
        <f>SUM(BI!D24+CL_no_gold_plat!D32+EF!D6+WC!D26)/1000000</f>
        <v>135.461248038402</v>
      </c>
      <c r="E6" s="1">
        <f>SUM(BI!E24+CL_no_gold_plat!E32+EF!E6+WC!E26)/1000000</f>
        <v>138.940589352323</v>
      </c>
      <c r="F6" s="1">
        <f>SUM(BI!F24+CL_no_gold_plat!F32+EF!F6+WC!F26)/1000000</f>
        <v>142.513397049259</v>
      </c>
      <c r="G6" s="1">
        <f>SUM(BI!G24+CL_no_gold_plat!G32+EF!G6+WC!G26)/1000000</f>
        <v>146.13123144626201</v>
      </c>
      <c r="H6" s="1">
        <f>SUM(BI!H24+CL_no_gold_plat!H32+EF!H6+WC!H26)/1000000</f>
        <v>149.79596638929701</v>
      </c>
      <c r="I6" s="1">
        <f>SUM(BI!I24+CL_no_gold_plat!I32+EF!I6+WC!I26)/1000000</f>
        <v>153.53543643716299</v>
      </c>
      <c r="J6" s="1">
        <f>SUM(BI!J24+CL_no_gold_plat!J32+EF!J6+WC!J26)/1000000</f>
        <v>157.37549897435201</v>
      </c>
      <c r="K6" s="1">
        <f>SUM(BI!K24+CL_no_gold_plat!K32+EF!K6+WC!K26)/1000000</f>
        <v>161.32698932907599</v>
      </c>
    </row>
    <row r="7" spans="1:11" x14ac:dyDescent="0.2">
      <c r="A7" t="s">
        <v>6</v>
      </c>
      <c r="B7" s="1">
        <f>SUM(BI!B25+CL_no_gold_plat!B33+EF!B7+WC!B27)/1000000</f>
        <v>125.337397505539</v>
      </c>
      <c r="C7" s="1">
        <f>SUM(BI!C25+CL_no_gold_plat!C33+EF!C7+WC!C27)/1000000</f>
        <v>128.304542465004</v>
      </c>
      <c r="D7" s="1">
        <f>SUM(BI!D25+CL_no_gold_plat!D33+EF!D7+WC!D27)/1000000</f>
        <v>131.50629716994501</v>
      </c>
      <c r="E7" s="1">
        <f>SUM(BI!E25+CL_no_gold_plat!E33+EF!E7+WC!E27)/1000000</f>
        <v>134.88405501146701</v>
      </c>
      <c r="F7" s="1">
        <f>SUM(BI!F25+CL_no_gold_plat!F33+EF!F7+WC!F27)/1000000</f>
        <v>138.35255037473999</v>
      </c>
      <c r="G7" s="1">
        <f>SUM(BI!G25+CL_no_gold_plat!G33+EF!G7+WC!G27)/1000000</f>
        <v>141.864757830477</v>
      </c>
      <c r="H7" s="1">
        <f>SUM(BI!H25+CL_no_gold_plat!H33+EF!H7+WC!H27)/1000000</f>
        <v>145.422496515501</v>
      </c>
      <c r="I7" s="1">
        <f>SUM(BI!I25+CL_no_gold_plat!I33+EF!I7+WC!I27)/1000000</f>
        <v>149.052788325845</v>
      </c>
      <c r="J7" s="1">
        <f>SUM(BI!J25+CL_no_gold_plat!J33+EF!J7+WC!J27)/1000000</f>
        <v>152.78073570917002</v>
      </c>
      <c r="K7" s="1">
        <f>SUM(BI!K25+CL_no_gold_plat!K33+EF!K7+WC!K27)/1000000</f>
        <v>156.616857643505</v>
      </c>
    </row>
    <row r="8" spans="1:11" x14ac:dyDescent="0.2">
      <c r="A8" t="s">
        <v>7</v>
      </c>
      <c r="B8" s="1">
        <f>SUM(BI!B26+CL_no_gold_plat!B34+EF!B8+WC!B28)/1000000</f>
        <v>92.874250085209397</v>
      </c>
      <c r="C8" s="1">
        <f>SUM(BI!C26+CL_no_gold_plat!C34+EF!C8+WC!C28)/1000000</f>
        <v>95.072886473780201</v>
      </c>
      <c r="D8" s="1">
        <f>SUM(BI!D26+CL_no_gold_plat!D34+EF!D8+WC!D28)/1000000</f>
        <v>97.445367258416212</v>
      </c>
      <c r="E8" s="1">
        <f>SUM(BI!E26+CL_no_gold_plat!E34+EF!E8+WC!E28)/1000000</f>
        <v>99.948265297981095</v>
      </c>
      <c r="F8" s="1">
        <f>SUM(BI!F26+CL_no_gold_plat!F34+EF!F8+WC!F28)/1000000</f>
        <v>102.518399289903</v>
      </c>
      <c r="G8" s="1">
        <f>SUM(BI!G26+CL_no_gold_plat!G34+EF!G8+WC!G28)/1000000</f>
        <v>105.12092367677499</v>
      </c>
      <c r="H8" s="1">
        <f>SUM(BI!H26+CL_no_gold_plat!H34+EF!H8+WC!H28)/1000000</f>
        <v>107.757186427932</v>
      </c>
      <c r="I8" s="1">
        <f>SUM(BI!I26+CL_no_gold_plat!I34+EF!I8+WC!I28)/1000000</f>
        <v>110.447210604166</v>
      </c>
      <c r="J8" s="1">
        <f>SUM(BI!J26+CL_no_gold_plat!J34+EF!J8+WC!J28)/1000000</f>
        <v>113.20959696668901</v>
      </c>
      <c r="K8" s="1">
        <f>SUM(BI!K26+CL_no_gold_plat!K34+EF!K8+WC!K28)/1000000</f>
        <v>116.05214001431399</v>
      </c>
    </row>
    <row r="9" spans="1:11" x14ac:dyDescent="0.2">
      <c r="A9" t="s">
        <v>8</v>
      </c>
      <c r="B9" s="1">
        <f>SUM(BI!B27+CL_no_gold_plat!B35+EF!B9+WC!B29)</f>
        <v>0.95371899888837497</v>
      </c>
      <c r="C9" s="1">
        <f>SUM(BI!C27+CL_no_gold_plat!C35+EF!C9+WC!C29)</f>
        <v>0.91531275653436595</v>
      </c>
      <c r="D9" s="1">
        <f>SUM(BI!D27+CL_no_gold_plat!D35+EF!D9+WC!D29)</f>
        <v>0.88171690920872703</v>
      </c>
      <c r="E9" s="1">
        <f>SUM(BI!E27+CL_no_gold_plat!E35+EF!E9+WC!E29)</f>
        <v>0.85121155915162205</v>
      </c>
      <c r="F9" s="1">
        <f>SUM(BI!F27+CL_no_gold_plat!F35+EF!F9+WC!F29)</f>
        <v>0.82281839425538295</v>
      </c>
      <c r="G9" s="1">
        <f>SUM(BI!G27+CL_no_gold_plat!G35+EF!G9+WC!G29)</f>
        <v>0.795973486312891</v>
      </c>
      <c r="H9" s="1">
        <f>SUM(BI!H27+CL_no_gold_plat!H35+EF!H9+WC!H29)</f>
        <v>0.770346368745776</v>
      </c>
      <c r="I9" s="1">
        <f>SUM(BI!I27+CL_no_gold_plat!I35+EF!I9+WC!I29)</f>
        <v>0.74573884618387398</v>
      </c>
      <c r="J9" s="1">
        <f>SUM(BI!J27+CL_no_gold_plat!J35+EF!J9+WC!J29)</f>
        <v>0.72202800370507803</v>
      </c>
      <c r="K9" s="1">
        <f>SUM(BI!K27+CL_no_gold_plat!K35+EF!K9+WC!K29)</f>
        <v>0.69913397330904103</v>
      </c>
    </row>
    <row r="10" spans="1:11" x14ac:dyDescent="0.2">
      <c r="A10" t="s">
        <v>9</v>
      </c>
      <c r="B10" s="1">
        <f>SUM(BI!B28+CL_no_gold_plat!B36+EF!B10+WC!B30)/1000000</f>
        <v>410.43876805161898</v>
      </c>
      <c r="C10" s="1">
        <f>SUM(BI!C28+CL_no_gold_plat!C36+EF!C10+WC!C30)/1000000</f>
        <v>403.23555222942196</v>
      </c>
      <c r="D10" s="1">
        <f>SUM(BI!D28+CL_no_gold_plat!D36+EF!D10+WC!D30)/1000000</f>
        <v>398.12824312659001</v>
      </c>
      <c r="E10" s="1">
        <f>SUM(BI!E28+CL_no_gold_plat!E36+EF!E10+WC!E30)/1000000</f>
        <v>394.22611897345297</v>
      </c>
      <c r="F10" s="1">
        <f>SUM(BI!F28+CL_no_gold_plat!F36+EF!F10+WC!F30)/1000000</f>
        <v>390.875481733171</v>
      </c>
      <c r="G10" s="1">
        <f>SUM(BI!G28+CL_no_gold_plat!G36+EF!G10+WC!G30)/1000000</f>
        <v>387.72195251159104</v>
      </c>
      <c r="H10" s="1">
        <f>SUM(BI!H28+CL_no_gold_plat!H36+EF!H10+WC!H30)/1000000</f>
        <v>384.64926253586401</v>
      </c>
      <c r="I10" s="1">
        <f>SUM(BI!I28+CL_no_gold_plat!I36+EF!I10+WC!I30)/1000000</f>
        <v>381.65779738995803</v>
      </c>
      <c r="J10" s="1">
        <f>SUM(BI!J28+CL_no_gold_plat!J36+EF!J10+WC!J30)/1000000</f>
        <v>378.76505785513996</v>
      </c>
      <c r="K10" s="1">
        <f>SUM(BI!K28+CL_no_gold_plat!K36+EF!K10+WC!K30)/1000000</f>
        <v>375.96393017207299</v>
      </c>
    </row>
    <row r="11" spans="1:11" x14ac:dyDescent="0.2">
      <c r="A11" t="s">
        <v>10</v>
      </c>
      <c r="B11" s="1">
        <f>SUM(BI!B29+CL_no_gold_plat!B37+EF!B11+WC!B31)/1000000</f>
        <v>247.59927435011602</v>
      </c>
      <c r="C11" s="1">
        <f>SUM(BI!C29+CL_no_gold_plat!C37+EF!C11+WC!C31)/1000000</f>
        <v>243.253897769269</v>
      </c>
      <c r="D11" s="1">
        <f>SUM(BI!D29+CL_no_gold_plat!D37+EF!D11+WC!D31)/1000000</f>
        <v>240.17288757682101</v>
      </c>
      <c r="E11" s="1">
        <f>SUM(BI!E29+CL_no_gold_plat!E37+EF!E11+WC!E31)/1000000</f>
        <v>237.818911334939</v>
      </c>
      <c r="F11" s="1">
        <f>SUM(BI!F29+CL_no_gold_plat!F37+EF!F11+WC!F31)/1000000</f>
        <v>235.79762237814199</v>
      </c>
      <c r="G11" s="1">
        <f>SUM(BI!G29+CL_no_gold_plat!G37+EF!G11+WC!G31)/1000000</f>
        <v>233.89523983613302</v>
      </c>
      <c r="H11" s="1">
        <f>SUM(BI!H29+CL_no_gold_plat!H37+EF!H11+WC!H31)/1000000</f>
        <v>232.04162398033898</v>
      </c>
      <c r="I11" s="1">
        <f>SUM(BI!I29+CL_no_gold_plat!I37+EF!I11+WC!I31)/1000000</f>
        <v>230.23700741624998</v>
      </c>
      <c r="J11" s="1">
        <f>SUM(BI!J29+CL_no_gold_plat!J37+EF!J11+WC!J31)/1000000</f>
        <v>228.49194757917698</v>
      </c>
      <c r="K11" s="1">
        <f>SUM(BI!K29+CL_no_gold_plat!K37+EF!K11+WC!K31)/1000000</f>
        <v>226.80215305761701</v>
      </c>
    </row>
    <row r="12" spans="1:11" x14ac:dyDescent="0.2">
      <c r="A12" t="s">
        <v>11</v>
      </c>
      <c r="B12" s="1">
        <f>B6*B9</f>
        <v>123.13163041548597</v>
      </c>
      <c r="C12" s="1">
        <f t="shared" ref="C12:K12" si="0">C6*C9</f>
        <v>120.97066566882663</v>
      </c>
      <c r="D12" s="1">
        <f t="shared" si="0"/>
        <v>119.43847293797656</v>
      </c>
      <c r="E12" s="1">
        <f t="shared" si="0"/>
        <v>118.26783569203612</v>
      </c>
      <c r="F12" s="1">
        <f t="shared" si="0"/>
        <v>117.26264451995112</v>
      </c>
      <c r="G12" s="1">
        <f t="shared" si="0"/>
        <v>116.31658575347714</v>
      </c>
      <c r="H12" s="1">
        <f t="shared" si="0"/>
        <v>115.39477876075927</v>
      </c>
      <c r="I12" s="1">
        <f t="shared" si="0"/>
        <v>114.49733921698744</v>
      </c>
      <c r="J12" s="1">
        <f t="shared" si="0"/>
        <v>113.62951735654194</v>
      </c>
      <c r="K12" s="1">
        <f t="shared" si="0"/>
        <v>112.78917905162216</v>
      </c>
    </row>
    <row r="13" spans="1:11" x14ac:dyDescent="0.2">
      <c r="A13" t="s">
        <v>12</v>
      </c>
      <c r="B13" s="1">
        <f>B8*B9</f>
        <v>88.575936813774476</v>
      </c>
      <c r="C13" s="1">
        <f t="shared" ref="C13:K13" si="1">C8*C9</f>
        <v>87.021425789994595</v>
      </c>
      <c r="D13" s="1">
        <f t="shared" si="1"/>
        <v>85.919228035800032</v>
      </c>
      <c r="E13" s="1">
        <f t="shared" si="1"/>
        <v>85.077118738794454</v>
      </c>
      <c r="F13" s="1">
        <f t="shared" si="1"/>
        <v>84.354024685350183</v>
      </c>
      <c r="G13" s="1">
        <f t="shared" si="1"/>
        <v>83.673468103433919</v>
      </c>
      <c r="H13" s="1">
        <f t="shared" si="1"/>
        <v>83.010357271019032</v>
      </c>
      <c r="I13" s="1">
        <f t="shared" si="1"/>
        <v>82.36477540017809</v>
      </c>
      <c r="J13" s="1">
        <f t="shared" si="1"/>
        <v>81.740499298114926</v>
      </c>
      <c r="K13" s="1">
        <f t="shared" si="1"/>
        <v>81.13599375922449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E3AD-0D8E-0043-88D1-E1C70A04DE8B}">
  <dimension ref="A1:K13"/>
  <sheetViews>
    <sheetView workbookViewId="0">
      <selection activeCell="A18" sqref="A18:N31"/>
    </sheetView>
  </sheetViews>
  <sheetFormatPr baseColWidth="10" defaultRowHeight="16" x14ac:dyDescent="0.2"/>
  <sheetData>
    <row r="1" spans="1:11" x14ac:dyDescent="0.2">
      <c r="A1" t="s">
        <v>0</v>
      </c>
      <c r="B1">
        <v>2175</v>
      </c>
      <c r="C1">
        <v>2176</v>
      </c>
      <c r="D1">
        <v>2177</v>
      </c>
      <c r="E1">
        <v>2178</v>
      </c>
      <c r="F1">
        <v>2179</v>
      </c>
      <c r="G1">
        <v>2180</v>
      </c>
      <c r="H1">
        <v>2181</v>
      </c>
      <c r="I1">
        <v>2182</v>
      </c>
      <c r="J1">
        <v>2183</v>
      </c>
      <c r="K1">
        <v>2184</v>
      </c>
    </row>
    <row r="2" spans="1:11" x14ac:dyDescent="0.2">
      <c r="A2" t="s">
        <v>1</v>
      </c>
      <c r="B2">
        <v>2.28254284552976E-2</v>
      </c>
      <c r="C2">
        <v>2.3673261281287501E-2</v>
      </c>
      <c r="D2">
        <v>2.4954336326900299E-2</v>
      </c>
      <c r="E2">
        <v>2.5685141428298901E-2</v>
      </c>
      <c r="F2">
        <v>2.57146433133142E-2</v>
      </c>
      <c r="G2">
        <v>2.53859249159053E-2</v>
      </c>
      <c r="H2">
        <v>2.5078382675386399E-2</v>
      </c>
      <c r="I2">
        <v>2.4963756621773199E-2</v>
      </c>
      <c r="J2">
        <v>2.50109201256675E-2</v>
      </c>
      <c r="K2">
        <v>2.51086756228007E-2</v>
      </c>
    </row>
    <row r="3" spans="1:11" x14ac:dyDescent="0.2">
      <c r="A3" t="s">
        <v>2</v>
      </c>
      <c r="B3">
        <v>4.85268733930731E-2</v>
      </c>
      <c r="C3">
        <v>4.19596930992494E-2</v>
      </c>
      <c r="D3">
        <v>3.81027594852274E-2</v>
      </c>
      <c r="E3">
        <v>3.5837565560680698E-2</v>
      </c>
      <c r="F3">
        <v>3.4507207294427598E-2</v>
      </c>
      <c r="G3">
        <v>3.3725882085398597E-2</v>
      </c>
      <c r="H3">
        <v>3.3267006384205898E-2</v>
      </c>
      <c r="I3">
        <v>3.2997506684578001E-2</v>
      </c>
      <c r="J3">
        <v>3.2839228336191399E-2</v>
      </c>
      <c r="K3">
        <v>3.27462707722216E-2</v>
      </c>
    </row>
    <row r="4" spans="1:11" x14ac:dyDescent="0.2">
      <c r="A4" t="s">
        <v>3</v>
      </c>
      <c r="B4">
        <v>4518796543.9365501</v>
      </c>
      <c r="C4">
        <v>4625771195.1981401</v>
      </c>
      <c r="D4">
        <v>4741204245.3744001</v>
      </c>
      <c r="E4">
        <v>4862982746.9573002</v>
      </c>
      <c r="F4">
        <v>4988032613.7341003</v>
      </c>
      <c r="G4">
        <v>5114658435.1444397</v>
      </c>
      <c r="H4">
        <v>5242925796.6348896</v>
      </c>
      <c r="I4">
        <v>5373808920.2081003</v>
      </c>
      <c r="J4">
        <v>5508212825.88202</v>
      </c>
      <c r="K4">
        <v>5646516754.9884501</v>
      </c>
    </row>
    <row r="5" spans="1:11" x14ac:dyDescent="0.2">
      <c r="A5" t="s">
        <v>4</v>
      </c>
      <c r="B5">
        <v>2712755519.2049999</v>
      </c>
      <c r="C5">
        <v>2776975289.4033899</v>
      </c>
      <c r="D5">
        <v>2846272864.7466502</v>
      </c>
      <c r="E5">
        <v>2919379785.8211999</v>
      </c>
      <c r="F5">
        <v>2994450595.7096901</v>
      </c>
      <c r="G5">
        <v>3070467493.6967702</v>
      </c>
      <c r="H5">
        <v>3147469852.4960299</v>
      </c>
      <c r="I5">
        <v>3226042523.8681102</v>
      </c>
      <c r="J5">
        <v>3306728815.75458</v>
      </c>
      <c r="K5">
        <v>3389756396.9619298</v>
      </c>
    </row>
    <row r="6" spans="1:11" x14ac:dyDescent="0.2">
      <c r="A6" t="s">
        <v>5</v>
      </c>
      <c r="B6">
        <v>1355638963.18097</v>
      </c>
      <c r="C6">
        <v>1387731358.5594399</v>
      </c>
      <c r="D6">
        <v>1422361273.6123199</v>
      </c>
      <c r="E6">
        <v>1458894824.0871899</v>
      </c>
      <c r="F6">
        <v>1496409784.12023</v>
      </c>
      <c r="G6">
        <v>1534397530.54333</v>
      </c>
      <c r="H6">
        <v>1572877738.9904699</v>
      </c>
      <c r="I6">
        <v>1612142676.0624299</v>
      </c>
      <c r="J6">
        <v>1652463847.7646101</v>
      </c>
      <c r="K6">
        <v>1693955026.4965301</v>
      </c>
    </row>
    <row r="7" spans="1:11" x14ac:dyDescent="0.2">
      <c r="A7" t="s">
        <v>6</v>
      </c>
      <c r="B7">
        <v>1316059485.1207399</v>
      </c>
      <c r="C7">
        <v>1347214905.1737199</v>
      </c>
      <c r="D7">
        <v>1380833759.0220301</v>
      </c>
      <c r="E7">
        <v>1416300669.4114799</v>
      </c>
      <c r="F7">
        <v>1452720335.94981</v>
      </c>
      <c r="G7">
        <v>1489598985.3220401</v>
      </c>
      <c r="H7">
        <v>1526955718.7088101</v>
      </c>
      <c r="I7">
        <v>1565074269.64288</v>
      </c>
      <c r="J7">
        <v>1604218217.1916599</v>
      </c>
      <c r="K7">
        <v>1644498012.03531</v>
      </c>
    </row>
    <row r="8" spans="1:11" x14ac:dyDescent="0.2">
      <c r="A8" t="s">
        <v>7</v>
      </c>
      <c r="B8">
        <v>975192082.97518504</v>
      </c>
      <c r="C8">
        <v>998278059.95489895</v>
      </c>
      <c r="D8">
        <v>1023189426.41078</v>
      </c>
      <c r="E8">
        <v>1049470191.53608</v>
      </c>
      <c r="F8">
        <v>1076456943.17939</v>
      </c>
      <c r="G8">
        <v>1103783798.3141401</v>
      </c>
      <c r="H8">
        <v>1131464910.79916</v>
      </c>
      <c r="I8">
        <v>1159710525.45842</v>
      </c>
      <c r="J8">
        <v>1188715952.7795601</v>
      </c>
      <c r="K8">
        <v>1218563036.0455501</v>
      </c>
    </row>
    <row r="9" spans="1:11" x14ac:dyDescent="0.2">
      <c r="A9" t="s">
        <v>8</v>
      </c>
      <c r="B9">
        <v>0.95371899888837497</v>
      </c>
      <c r="C9">
        <v>0.91531275653436595</v>
      </c>
      <c r="D9">
        <v>0.88171690920872703</v>
      </c>
      <c r="E9">
        <v>0.85121155915162205</v>
      </c>
      <c r="F9">
        <v>0.82281839425538295</v>
      </c>
      <c r="G9">
        <v>0.795973486312891</v>
      </c>
      <c r="H9">
        <v>0.770346368745776</v>
      </c>
      <c r="I9">
        <v>0.74573884618387398</v>
      </c>
      <c r="J9">
        <v>0.72202800370507803</v>
      </c>
      <c r="K9">
        <v>0.69913397330904103</v>
      </c>
    </row>
    <row r="10" spans="1:11" x14ac:dyDescent="0.2">
      <c r="A10" t="s">
        <v>9</v>
      </c>
      <c r="B10">
        <v>4309662116.0634203</v>
      </c>
      <c r="C10">
        <v>4234027383.7740798</v>
      </c>
      <c r="D10">
        <v>4180399953.1588202</v>
      </c>
      <c r="E10">
        <v>4139427126.1649599</v>
      </c>
      <c r="F10">
        <v>4104244985.7261801</v>
      </c>
      <c r="G10">
        <v>4071132505.9215598</v>
      </c>
      <c r="H10">
        <v>4038868849.0412402</v>
      </c>
      <c r="I10">
        <v>4007458063.7686</v>
      </c>
      <c r="J10">
        <v>3977083910.6543002</v>
      </c>
      <c r="K10">
        <v>3947671694.2711501</v>
      </c>
    </row>
    <row r="11" spans="1:11" x14ac:dyDescent="0.2">
      <c r="A11" t="s">
        <v>10</v>
      </c>
      <c r="B11">
        <v>2587206478.0050998</v>
      </c>
      <c r="C11">
        <v>2541800906.9716301</v>
      </c>
      <c r="D11">
        <v>2509606913.0690899</v>
      </c>
      <c r="E11">
        <v>2485009819.2445898</v>
      </c>
      <c r="F11">
        <v>2463889030.8389301</v>
      </c>
      <c r="G11">
        <v>2444010715.5682201</v>
      </c>
      <c r="H11">
        <v>2424641971.60712</v>
      </c>
      <c r="I11">
        <v>2405785229.4895201</v>
      </c>
      <c r="J11">
        <v>2387550805.6333399</v>
      </c>
      <c r="K11">
        <v>2369893858.3577299</v>
      </c>
    </row>
    <row r="12" spans="1:11" x14ac:dyDescent="0.2">
      <c r="A12" t="s">
        <v>11</v>
      </c>
      <c r="B12">
        <v>1292898634.81903</v>
      </c>
      <c r="C12">
        <v>1270208215.13222</v>
      </c>
      <c r="D12">
        <v>1254119985.9476399</v>
      </c>
      <c r="E12">
        <v>1241828137.8494899</v>
      </c>
      <c r="F12">
        <v>1231273495.71785</v>
      </c>
      <c r="G12">
        <v>1221339751.7764699</v>
      </c>
      <c r="H12">
        <v>1211660654.7123699</v>
      </c>
      <c r="I12">
        <v>1202237419.1305799</v>
      </c>
      <c r="J12">
        <v>1193125173.19629</v>
      </c>
      <c r="K12">
        <v>1184301508.2813399</v>
      </c>
    </row>
    <row r="13" spans="1:11" x14ac:dyDescent="0.2">
      <c r="A13" t="s">
        <v>12</v>
      </c>
      <c r="B13">
        <v>930059217.09896302</v>
      </c>
      <c r="C13">
        <v>913736642.84509695</v>
      </c>
      <c r="D13">
        <v>902163418.58996296</v>
      </c>
      <c r="E13">
        <v>893321158.02057803</v>
      </c>
      <c r="F13">
        <v>885728573.47192097</v>
      </c>
      <c r="G13">
        <v>878582638.07979298</v>
      </c>
      <c r="H13">
        <v>871619885.39739299</v>
      </c>
      <c r="I13">
        <v>864841189.16265798</v>
      </c>
      <c r="J13">
        <v>858286206.35780501</v>
      </c>
      <c r="K13">
        <v>851938817.11805403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0C03-D5EF-C447-ADF1-04A65930B59A}">
  <dimension ref="A1:K13"/>
  <sheetViews>
    <sheetView topLeftCell="A10" workbookViewId="0">
      <selection activeCell="A24" sqref="A24:O39"/>
    </sheetView>
  </sheetViews>
  <sheetFormatPr baseColWidth="10" defaultRowHeight="16" x14ac:dyDescent="0.2"/>
  <sheetData>
    <row r="1" spans="1:11" x14ac:dyDescent="0.2">
      <c r="A1" t="s">
        <v>0</v>
      </c>
      <c r="B1">
        <v>2175</v>
      </c>
      <c r="C1">
        <v>2176</v>
      </c>
      <c r="D1">
        <v>2177</v>
      </c>
      <c r="E1">
        <v>2178</v>
      </c>
      <c r="F1">
        <v>2179</v>
      </c>
      <c r="G1">
        <v>2180</v>
      </c>
      <c r="H1">
        <v>2181</v>
      </c>
      <c r="I1">
        <v>2182</v>
      </c>
      <c r="J1">
        <v>2183</v>
      </c>
      <c r="K1">
        <v>2184</v>
      </c>
    </row>
    <row r="2" spans="1:11" x14ac:dyDescent="0.2">
      <c r="A2" t="s">
        <v>1</v>
      </c>
      <c r="B2">
        <v>2.28254284552976E-2</v>
      </c>
      <c r="C2">
        <v>2.3673261281287501E-2</v>
      </c>
      <c r="D2">
        <v>2.4954336326900299E-2</v>
      </c>
      <c r="E2">
        <v>2.5685141428298901E-2</v>
      </c>
      <c r="F2">
        <v>2.57146433133142E-2</v>
      </c>
      <c r="G2">
        <v>2.53859249159053E-2</v>
      </c>
      <c r="H2">
        <v>2.5078382675386399E-2</v>
      </c>
      <c r="I2">
        <v>2.4963756621773199E-2</v>
      </c>
      <c r="J2">
        <v>2.50109201256675E-2</v>
      </c>
      <c r="K2">
        <v>2.51086756228007E-2</v>
      </c>
    </row>
    <row r="3" spans="1:11" x14ac:dyDescent="0.2">
      <c r="A3" t="s">
        <v>2</v>
      </c>
      <c r="B3">
        <v>4.85268733930731E-2</v>
      </c>
      <c r="C3">
        <v>4.19596930992494E-2</v>
      </c>
      <c r="D3">
        <v>3.81027594852274E-2</v>
      </c>
      <c r="E3">
        <v>3.5837565560680698E-2</v>
      </c>
      <c r="F3">
        <v>3.4507207294427598E-2</v>
      </c>
      <c r="G3">
        <v>3.3725882085398597E-2</v>
      </c>
      <c r="H3">
        <v>3.3267006384205898E-2</v>
      </c>
      <c r="I3">
        <v>3.2997506684578001E-2</v>
      </c>
      <c r="J3">
        <v>3.2839228336191399E-2</v>
      </c>
      <c r="K3">
        <v>3.27462707722216E-2</v>
      </c>
    </row>
    <row r="4" spans="1:11" x14ac:dyDescent="0.2">
      <c r="A4" t="s">
        <v>3</v>
      </c>
      <c r="B4">
        <v>26222225774.192101</v>
      </c>
      <c r="C4">
        <v>26842991376.3214</v>
      </c>
      <c r="D4">
        <v>27512840411.146198</v>
      </c>
      <c r="E4">
        <v>28219511608.200802</v>
      </c>
      <c r="F4">
        <v>28945166283.681599</v>
      </c>
      <c r="G4">
        <v>29679966101.637501</v>
      </c>
      <c r="H4">
        <v>30424291649.3269</v>
      </c>
      <c r="I4">
        <v>31183796261.4505</v>
      </c>
      <c r="J4">
        <v>31963731698.960701</v>
      </c>
      <c r="K4">
        <v>32766298669.884201</v>
      </c>
    </row>
    <row r="5" spans="1:11" x14ac:dyDescent="0.2">
      <c r="A5" t="s">
        <v>4</v>
      </c>
      <c r="B5">
        <v>15733335464.5152</v>
      </c>
      <c r="C5">
        <v>16105794825.792801</v>
      </c>
      <c r="D5">
        <v>16507704246.6877</v>
      </c>
      <c r="E5">
        <v>16931706964.920401</v>
      </c>
      <c r="F5">
        <v>17367099770.2089</v>
      </c>
      <c r="G5">
        <v>17807979660.982498</v>
      </c>
      <c r="H5">
        <v>18254574989.5961</v>
      </c>
      <c r="I5">
        <v>18710277756.8703</v>
      </c>
      <c r="J5">
        <v>19178239019.3764</v>
      </c>
      <c r="K5">
        <v>19659779201.9305</v>
      </c>
    </row>
    <row r="6" spans="1:11" x14ac:dyDescent="0.2">
      <c r="A6" t="s">
        <v>5</v>
      </c>
      <c r="B6">
        <v>7866667732.2576199</v>
      </c>
      <c r="C6">
        <v>8052897412.89643</v>
      </c>
      <c r="D6">
        <v>8253852123.3438702</v>
      </c>
      <c r="E6">
        <v>8465853482.4602299</v>
      </c>
      <c r="F6">
        <v>8683549885.1044693</v>
      </c>
      <c r="G6">
        <v>8903989830.4912491</v>
      </c>
      <c r="H6">
        <v>9127287494.7980595</v>
      </c>
      <c r="I6">
        <v>9355138878.4351501</v>
      </c>
      <c r="J6">
        <v>9589119509.6882191</v>
      </c>
      <c r="K6">
        <v>9829889600.96525</v>
      </c>
    </row>
    <row r="7" spans="1:11" x14ac:dyDescent="0.2">
      <c r="A7" t="s">
        <v>6</v>
      </c>
      <c r="B7">
        <v>7636991091.6678495</v>
      </c>
      <c r="C7">
        <v>7817783577.1837597</v>
      </c>
      <c r="D7">
        <v>8012871177.8997297</v>
      </c>
      <c r="E7">
        <v>8218682907.3508196</v>
      </c>
      <c r="F7">
        <v>8430023406.8185797</v>
      </c>
      <c r="G7">
        <v>8644027348.0634003</v>
      </c>
      <c r="H7">
        <v>8860805573.7546406</v>
      </c>
      <c r="I7">
        <v>9082004567.5706997</v>
      </c>
      <c r="J7">
        <v>9309153858.3911591</v>
      </c>
      <c r="K7">
        <v>9542894382.9442501</v>
      </c>
    </row>
    <row r="8" spans="1:11" x14ac:dyDescent="0.2">
      <c r="A8" t="s">
        <v>7</v>
      </c>
      <c r="B8">
        <v>5658964001.6638403</v>
      </c>
      <c r="C8">
        <v>5792930135.0566301</v>
      </c>
      <c r="D8">
        <v>5937488861.9650698</v>
      </c>
      <c r="E8">
        <v>6089994103.1135902</v>
      </c>
      <c r="F8">
        <v>6246596129.2553501</v>
      </c>
      <c r="G8">
        <v>6405171749.5726099</v>
      </c>
      <c r="H8">
        <v>6565803097.8099604</v>
      </c>
      <c r="I8">
        <v>6729710208.3701801</v>
      </c>
      <c r="J8">
        <v>6898026452.86061</v>
      </c>
      <c r="K8">
        <v>7071226761.5029898</v>
      </c>
    </row>
    <row r="9" spans="1:11" x14ac:dyDescent="0.2">
      <c r="A9" t="s">
        <v>8</v>
      </c>
      <c r="B9">
        <v>0.95371899888837497</v>
      </c>
      <c r="C9">
        <v>0.91531275653436595</v>
      </c>
      <c r="D9">
        <v>0.88171690920872703</v>
      </c>
      <c r="E9">
        <v>0.85121155915162205</v>
      </c>
      <c r="F9">
        <v>0.82281839425538295</v>
      </c>
      <c r="G9">
        <v>0.795973486312891</v>
      </c>
      <c r="H9">
        <v>0.770346368745776</v>
      </c>
      <c r="I9">
        <v>0.74573884618387398</v>
      </c>
      <c r="J9">
        <v>0.72202800370507803</v>
      </c>
      <c r="K9">
        <v>0.69913397330904103</v>
      </c>
    </row>
    <row r="10" spans="1:11" x14ac:dyDescent="0.2">
      <c r="A10" t="s">
        <v>9</v>
      </c>
      <c r="B10">
        <v>25008634913.9874</v>
      </c>
      <c r="C10">
        <v>24569732430.289001</v>
      </c>
      <c r="D10">
        <v>24258536610.868801</v>
      </c>
      <c r="E10">
        <v>24020774474.513901</v>
      </c>
      <c r="F10">
        <v>23816615242.9939</v>
      </c>
      <c r="G10">
        <v>23624466091.568802</v>
      </c>
      <c r="H10">
        <v>23437242593.721401</v>
      </c>
      <c r="I10">
        <v>23254968243.647099</v>
      </c>
      <c r="J10">
        <v>23078709389.5653</v>
      </c>
      <c r="K10">
        <v>22908032579.706902</v>
      </c>
    </row>
    <row r="11" spans="1:11" x14ac:dyDescent="0.2">
      <c r="A11" t="s">
        <v>10</v>
      </c>
      <c r="B11">
        <v>15005180948.392401</v>
      </c>
      <c r="C11">
        <v>14741839458.173401</v>
      </c>
      <c r="D11">
        <v>14555121966.521299</v>
      </c>
      <c r="E11">
        <v>14412464684.7083</v>
      </c>
      <c r="F11">
        <v>14289969145.796301</v>
      </c>
      <c r="G11">
        <v>14174679654.941299</v>
      </c>
      <c r="H11">
        <v>14062345556.2328</v>
      </c>
      <c r="I11">
        <v>13952980946.1882</v>
      </c>
      <c r="J11">
        <v>13847225633.739201</v>
      </c>
      <c r="K11">
        <v>13744819547.8241</v>
      </c>
    </row>
    <row r="12" spans="1:11" x14ac:dyDescent="0.2">
      <c r="A12" t="s">
        <v>11</v>
      </c>
      <c r="B12">
        <v>7502590474.1962204</v>
      </c>
      <c r="C12">
        <v>7370919729.0866899</v>
      </c>
      <c r="D12">
        <v>7277560983.2606497</v>
      </c>
      <c r="E12">
        <v>7206232342.3541603</v>
      </c>
      <c r="F12">
        <v>7144984572.89818</v>
      </c>
      <c r="G12">
        <v>7087339827.4706497</v>
      </c>
      <c r="H12">
        <v>7031172778.1164103</v>
      </c>
      <c r="I12">
        <v>6976490473.0941296</v>
      </c>
      <c r="J12">
        <v>6923612816.8696003</v>
      </c>
      <c r="K12">
        <v>6872409773.9120598</v>
      </c>
    </row>
    <row r="13" spans="1:11" x14ac:dyDescent="0.2">
      <c r="A13" t="s">
        <v>12</v>
      </c>
      <c r="B13">
        <v>5397061482.4122</v>
      </c>
      <c r="C13">
        <v>5302342850.3296804</v>
      </c>
      <c r="D13">
        <v>5235184327.8330898</v>
      </c>
      <c r="E13">
        <v>5183873375.7355099</v>
      </c>
      <c r="F13">
        <v>5139814196.6357803</v>
      </c>
      <c r="G13">
        <v>5098346887.9401503</v>
      </c>
      <c r="H13">
        <v>5057942574.2976704</v>
      </c>
      <c r="I13">
        <v>5018606325.9418097</v>
      </c>
      <c r="J13">
        <v>4980568269.2637701</v>
      </c>
      <c r="K13">
        <v>4943734861.9388103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C794-FE79-A749-B374-E26693E6BB70}">
  <dimension ref="A1:K13"/>
  <sheetViews>
    <sheetView topLeftCell="A2" workbookViewId="0">
      <selection activeCell="O34" sqref="A18:O34"/>
    </sheetView>
  </sheetViews>
  <sheetFormatPr baseColWidth="10" defaultRowHeight="16" x14ac:dyDescent="0.2"/>
  <sheetData>
    <row r="1" spans="1:11" x14ac:dyDescent="0.2">
      <c r="A1" t="s">
        <v>0</v>
      </c>
      <c r="B1">
        <v>2175</v>
      </c>
      <c r="C1">
        <v>2176</v>
      </c>
      <c r="D1">
        <v>2177</v>
      </c>
      <c r="E1">
        <v>2178</v>
      </c>
      <c r="F1">
        <v>2179</v>
      </c>
      <c r="G1">
        <v>2180</v>
      </c>
      <c r="H1">
        <v>2181</v>
      </c>
      <c r="I1">
        <v>2182</v>
      </c>
      <c r="J1">
        <v>2183</v>
      </c>
      <c r="K1">
        <v>2184</v>
      </c>
    </row>
    <row r="2" spans="1:11" x14ac:dyDescent="0.2">
      <c r="A2" t="s">
        <v>1</v>
      </c>
      <c r="B2">
        <v>2.28254284552976E-2</v>
      </c>
      <c r="C2">
        <v>2.3673261281287501E-2</v>
      </c>
      <c r="D2">
        <v>2.4954336326900299E-2</v>
      </c>
      <c r="E2">
        <v>2.5685141428298901E-2</v>
      </c>
      <c r="F2">
        <v>2.57146433133142E-2</v>
      </c>
      <c r="G2">
        <v>2.53859249159053E-2</v>
      </c>
      <c r="H2">
        <v>2.5078382675386399E-2</v>
      </c>
      <c r="I2">
        <v>2.4963756621773199E-2</v>
      </c>
      <c r="J2">
        <v>2.50109201256675E-2</v>
      </c>
      <c r="K2">
        <v>2.51086756228007E-2</v>
      </c>
    </row>
    <row r="3" spans="1:11" x14ac:dyDescent="0.2">
      <c r="A3" t="s">
        <v>2</v>
      </c>
      <c r="B3">
        <v>4.85268733930731E-2</v>
      </c>
      <c r="C3">
        <v>4.19596930992494E-2</v>
      </c>
      <c r="D3">
        <v>3.81027594852274E-2</v>
      </c>
      <c r="E3">
        <v>3.5837565560680698E-2</v>
      </c>
      <c r="F3">
        <v>3.4507207294427598E-2</v>
      </c>
      <c r="G3">
        <v>3.3725882085398597E-2</v>
      </c>
      <c r="H3">
        <v>3.3267006384205898E-2</v>
      </c>
      <c r="I3">
        <v>3.2997506684578001E-2</v>
      </c>
      <c r="J3">
        <v>3.2839228336191399E-2</v>
      </c>
      <c r="K3">
        <v>3.27462707722216E-2</v>
      </c>
    </row>
    <row r="4" spans="1:11" x14ac:dyDescent="0.2">
      <c r="A4" t="s">
        <v>3</v>
      </c>
      <c r="B4">
        <v>430356078.18446898</v>
      </c>
      <c r="C4">
        <v>440544010.06731999</v>
      </c>
      <c r="D4">
        <v>451537493.46134102</v>
      </c>
      <c r="E4">
        <v>463135297.841075</v>
      </c>
      <c r="F4">
        <v>475044656.83086401</v>
      </c>
      <c r="G4">
        <v>487104104.82087398</v>
      </c>
      <c r="H4">
        <v>499319887.964324</v>
      </c>
      <c r="I4">
        <v>511784788.12387598</v>
      </c>
      <c r="J4">
        <v>524584996.58117402</v>
      </c>
      <c r="K4">
        <v>537756631.09691894</v>
      </c>
    </row>
    <row r="5" spans="1:11" x14ac:dyDescent="0.2">
      <c r="A5" t="s">
        <v>4</v>
      </c>
      <c r="B5">
        <v>259614492.98872101</v>
      </c>
      <c r="C5">
        <v>265760414.71365201</v>
      </c>
      <c r="D5">
        <v>272392289.48479301</v>
      </c>
      <c r="E5">
        <v>279388723.96418798</v>
      </c>
      <c r="F5">
        <v>286573105.34668899</v>
      </c>
      <c r="G5">
        <v>293848028.68193799</v>
      </c>
      <c r="H5">
        <v>301217261.99363202</v>
      </c>
      <c r="I5">
        <v>308736776.41231799</v>
      </c>
      <c r="J5">
        <v>316458567.26702201</v>
      </c>
      <c r="K5">
        <v>324404422.780586</v>
      </c>
    </row>
    <row r="6" spans="1:11" x14ac:dyDescent="0.2">
      <c r="A6" t="s">
        <v>5</v>
      </c>
      <c r="B6">
        <v>129106823.455341</v>
      </c>
      <c r="C6">
        <v>132163203.02019601</v>
      </c>
      <c r="D6">
        <v>135461248.03840199</v>
      </c>
      <c r="E6">
        <v>138940589.352323</v>
      </c>
      <c r="F6">
        <v>142513397.04925901</v>
      </c>
      <c r="G6">
        <v>146131231.446262</v>
      </c>
      <c r="H6">
        <v>149795966.38929701</v>
      </c>
      <c r="I6">
        <v>153535436.437163</v>
      </c>
      <c r="J6">
        <v>157375498.974352</v>
      </c>
      <c r="K6">
        <v>161326989.32907599</v>
      </c>
    </row>
    <row r="7" spans="1:11" x14ac:dyDescent="0.2">
      <c r="A7" t="s">
        <v>6</v>
      </c>
      <c r="B7">
        <v>125337397.505539</v>
      </c>
      <c r="C7">
        <v>128304542.465004</v>
      </c>
      <c r="D7">
        <v>131506297.169945</v>
      </c>
      <c r="E7">
        <v>134884055.01146701</v>
      </c>
      <c r="F7">
        <v>138352550.37474</v>
      </c>
      <c r="G7">
        <v>141864757.830477</v>
      </c>
      <c r="H7">
        <v>145422496.51550099</v>
      </c>
      <c r="I7">
        <v>149052788.325845</v>
      </c>
      <c r="J7">
        <v>152780735.70917001</v>
      </c>
      <c r="K7">
        <v>156616857.64350501</v>
      </c>
    </row>
    <row r="8" spans="1:11" x14ac:dyDescent="0.2">
      <c r="A8" t="s">
        <v>7</v>
      </c>
      <c r="B8">
        <v>92874250.085209399</v>
      </c>
      <c r="C8">
        <v>95072886.4737802</v>
      </c>
      <c r="D8">
        <v>97445367.258416206</v>
      </c>
      <c r="E8">
        <v>99948265.297981098</v>
      </c>
      <c r="F8">
        <v>102518399.289903</v>
      </c>
      <c r="G8">
        <v>105120923.67677499</v>
      </c>
      <c r="H8">
        <v>107757186.42793199</v>
      </c>
      <c r="I8">
        <v>110447210.604166</v>
      </c>
      <c r="J8">
        <v>113209596.96668901</v>
      </c>
      <c r="K8">
        <v>116052140.014314</v>
      </c>
    </row>
    <row r="9" spans="1:11" x14ac:dyDescent="0.2">
      <c r="A9" t="s">
        <v>8</v>
      </c>
      <c r="B9">
        <v>0.95371899888837497</v>
      </c>
      <c r="C9">
        <v>0.91531275653436595</v>
      </c>
      <c r="D9">
        <v>0.88171690920872703</v>
      </c>
      <c r="E9">
        <v>0.85121155915162205</v>
      </c>
      <c r="F9">
        <v>0.82281839425538295</v>
      </c>
      <c r="G9">
        <v>0.795973486312891</v>
      </c>
      <c r="H9">
        <v>0.770346368745776</v>
      </c>
      <c r="I9">
        <v>0.74573884618387398</v>
      </c>
      <c r="J9">
        <v>0.72202800370507803</v>
      </c>
      <c r="K9">
        <v>0.69913397330904103</v>
      </c>
    </row>
    <row r="10" spans="1:11" x14ac:dyDescent="0.2">
      <c r="A10" t="s">
        <v>9</v>
      </c>
      <c r="B10">
        <v>410438768.05161899</v>
      </c>
      <c r="C10">
        <v>403235552.22942197</v>
      </c>
      <c r="D10">
        <v>398128243.12659001</v>
      </c>
      <c r="E10">
        <v>394226118.97345299</v>
      </c>
      <c r="F10">
        <v>390875481.73317099</v>
      </c>
      <c r="G10">
        <v>387721952.51159102</v>
      </c>
      <c r="H10">
        <v>384649262.535864</v>
      </c>
      <c r="I10">
        <v>381657797.38995802</v>
      </c>
      <c r="J10">
        <v>378765057.85513997</v>
      </c>
      <c r="K10">
        <v>375963930.17207301</v>
      </c>
    </row>
    <row r="11" spans="1:11" x14ac:dyDescent="0.2">
      <c r="A11" t="s">
        <v>10</v>
      </c>
      <c r="B11">
        <v>247599274.35011601</v>
      </c>
      <c r="C11">
        <v>243253897.76926899</v>
      </c>
      <c r="D11">
        <v>240172887.576821</v>
      </c>
      <c r="E11">
        <v>237818911.334939</v>
      </c>
      <c r="F11">
        <v>235797622.378142</v>
      </c>
      <c r="G11">
        <v>233895239.836133</v>
      </c>
      <c r="H11">
        <v>232041623.98033899</v>
      </c>
      <c r="I11">
        <v>230237007.41624999</v>
      </c>
      <c r="J11">
        <v>228491947.57917699</v>
      </c>
      <c r="K11">
        <v>226802153.05761701</v>
      </c>
    </row>
    <row r="12" spans="1:11" x14ac:dyDescent="0.2">
      <c r="A12" t="s">
        <v>11</v>
      </c>
      <c r="B12">
        <v>123131630.41548599</v>
      </c>
      <c r="C12">
        <v>120970665.668827</v>
      </c>
      <c r="D12">
        <v>119438472.937977</v>
      </c>
      <c r="E12">
        <v>118267835.692036</v>
      </c>
      <c r="F12">
        <v>117262644.519951</v>
      </c>
      <c r="G12">
        <v>116316585.75347701</v>
      </c>
      <c r="H12">
        <v>115394778.760759</v>
      </c>
      <c r="I12">
        <v>114497339.216987</v>
      </c>
      <c r="J12">
        <v>113629517.35654201</v>
      </c>
      <c r="K12">
        <v>112789179.051622</v>
      </c>
    </row>
    <row r="13" spans="1:11" x14ac:dyDescent="0.2">
      <c r="A13" t="s">
        <v>12</v>
      </c>
      <c r="B13">
        <v>88575936.813774601</v>
      </c>
      <c r="C13">
        <v>87021425.789994597</v>
      </c>
      <c r="D13">
        <v>85919228.035799995</v>
      </c>
      <c r="E13">
        <v>85077118.738794506</v>
      </c>
      <c r="F13">
        <v>84354024.685350403</v>
      </c>
      <c r="G13">
        <v>83673468.103434294</v>
      </c>
      <c r="H13">
        <v>83010357.271018803</v>
      </c>
      <c r="I13">
        <v>82364775.400177807</v>
      </c>
      <c r="J13">
        <v>81740499.298115104</v>
      </c>
      <c r="K13">
        <v>81135993.7592244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5A82-4F94-FB42-A9BA-BC211733576A}">
  <dimension ref="A1:K13"/>
  <sheetViews>
    <sheetView workbookViewId="0">
      <selection activeCell="A19" sqref="A19:N32"/>
    </sheetView>
  </sheetViews>
  <sheetFormatPr baseColWidth="10" defaultRowHeight="16" x14ac:dyDescent="0.2"/>
  <sheetData>
    <row r="1" spans="1:11" x14ac:dyDescent="0.2">
      <c r="A1" t="s">
        <v>0</v>
      </c>
      <c r="B1">
        <v>2175</v>
      </c>
      <c r="C1">
        <v>2176</v>
      </c>
      <c r="D1">
        <v>2177</v>
      </c>
      <c r="E1">
        <v>2178</v>
      </c>
      <c r="F1">
        <v>2179</v>
      </c>
      <c r="G1">
        <v>2180</v>
      </c>
      <c r="H1">
        <v>2181</v>
      </c>
      <c r="I1">
        <v>2182</v>
      </c>
      <c r="J1">
        <v>2183</v>
      </c>
      <c r="K1">
        <v>2184</v>
      </c>
    </row>
    <row r="2" spans="1:11" x14ac:dyDescent="0.2">
      <c r="A2" t="s">
        <v>1</v>
      </c>
      <c r="B2">
        <v>2.28254284552976E-2</v>
      </c>
      <c r="C2">
        <v>2.3673261281287501E-2</v>
      </c>
      <c r="D2">
        <v>2.4954336326900299E-2</v>
      </c>
      <c r="E2">
        <v>2.5685141428298901E-2</v>
      </c>
      <c r="F2">
        <v>2.57146433133142E-2</v>
      </c>
      <c r="G2">
        <v>2.53859249159053E-2</v>
      </c>
      <c r="H2">
        <v>2.5078382675386399E-2</v>
      </c>
      <c r="I2">
        <v>2.4963756621773199E-2</v>
      </c>
      <c r="J2">
        <v>2.50109201256675E-2</v>
      </c>
      <c r="K2">
        <v>2.51086756228007E-2</v>
      </c>
    </row>
    <row r="3" spans="1:11" x14ac:dyDescent="0.2">
      <c r="A3" t="s">
        <v>2</v>
      </c>
      <c r="B3">
        <v>4.85268733930731E-2</v>
      </c>
      <c r="C3">
        <v>4.19596930992494E-2</v>
      </c>
      <c r="D3">
        <v>3.81027594852274E-2</v>
      </c>
      <c r="E3">
        <v>3.5837565560680698E-2</v>
      </c>
      <c r="F3">
        <v>3.4507207294427598E-2</v>
      </c>
      <c r="G3">
        <v>3.3725882085398597E-2</v>
      </c>
      <c r="H3">
        <v>3.3267006384205898E-2</v>
      </c>
      <c r="I3">
        <v>3.2997506684578001E-2</v>
      </c>
      <c r="J3">
        <v>3.2839228336191399E-2</v>
      </c>
      <c r="K3">
        <v>3.27462707722216E-2</v>
      </c>
    </row>
    <row r="4" spans="1:11" x14ac:dyDescent="0.2">
      <c r="A4" t="s">
        <v>3</v>
      </c>
      <c r="B4">
        <v>25420772.9047563</v>
      </c>
      <c r="C4">
        <v>26022565.503702901</v>
      </c>
      <c r="D4">
        <v>26671941.355371099</v>
      </c>
      <c r="E4">
        <v>27357013.941251099</v>
      </c>
      <c r="F4">
        <v>28060489.796867698</v>
      </c>
      <c r="G4">
        <v>28772831.283954501</v>
      </c>
      <c r="H4">
        <v>29494407.357547902</v>
      </c>
      <c r="I4">
        <v>30230698.564525101</v>
      </c>
      <c r="J4">
        <v>30986796.151665598</v>
      </c>
      <c r="K4">
        <v>31764833.564827599</v>
      </c>
    </row>
    <row r="5" spans="1:11" x14ac:dyDescent="0.2">
      <c r="A5" t="s">
        <v>4</v>
      </c>
      <c r="B5">
        <v>15252463.7387625</v>
      </c>
      <c r="C5">
        <v>15613539.298033601</v>
      </c>
      <c r="D5">
        <v>16003164.80893</v>
      </c>
      <c r="E5">
        <v>16414208.360347699</v>
      </c>
      <c r="F5">
        <v>16836293.873604499</v>
      </c>
      <c r="G5">
        <v>17263698.7657419</v>
      </c>
      <c r="H5">
        <v>17696644.409781799</v>
      </c>
      <c r="I5">
        <v>18138419.133849699</v>
      </c>
      <c r="J5">
        <v>18592077.686012302</v>
      </c>
      <c r="K5">
        <v>19058900.133784201</v>
      </c>
    </row>
    <row r="6" spans="1:11" x14ac:dyDescent="0.2">
      <c r="A6" t="s">
        <v>5</v>
      </c>
      <c r="B6">
        <v>7626231.8714268999</v>
      </c>
      <c r="C6">
        <v>7806769.6511108698</v>
      </c>
      <c r="D6">
        <v>8001582.4066113299</v>
      </c>
      <c r="E6">
        <v>8207104.1823753295</v>
      </c>
      <c r="F6">
        <v>8418146.9390603192</v>
      </c>
      <c r="G6">
        <v>8631849.3851863593</v>
      </c>
      <c r="H6">
        <v>8848322.2072643694</v>
      </c>
      <c r="I6">
        <v>9069209.5693575405</v>
      </c>
      <c r="J6">
        <v>9296038.8454996794</v>
      </c>
      <c r="K6">
        <v>9529450.0694482904</v>
      </c>
    </row>
    <row r="7" spans="1:11" x14ac:dyDescent="0.2">
      <c r="A7" t="s">
        <v>6</v>
      </c>
      <c r="B7">
        <v>7403575.0393090704</v>
      </c>
      <c r="C7">
        <v>7578841.8056302601</v>
      </c>
      <c r="D7">
        <v>7767966.7730163299</v>
      </c>
      <c r="E7">
        <v>7967488.0981915798</v>
      </c>
      <c r="F7">
        <v>8172369.2127396502</v>
      </c>
      <c r="G7">
        <v>8379832.3639593096</v>
      </c>
      <c r="H7">
        <v>8589985.0067382809</v>
      </c>
      <c r="I7">
        <v>8804423.3018311709</v>
      </c>
      <c r="J7">
        <v>9024630.0297858305</v>
      </c>
      <c r="K7">
        <v>9251226.5378195103</v>
      </c>
    </row>
    <row r="8" spans="1:11" x14ac:dyDescent="0.2">
      <c r="A8" t="s">
        <v>7</v>
      </c>
      <c r="B8">
        <v>5486004.1249461798</v>
      </c>
      <c r="C8">
        <v>5615875.7339862501</v>
      </c>
      <c r="D8">
        <v>5756016.1858222196</v>
      </c>
      <c r="E8">
        <v>5903860.2756186398</v>
      </c>
      <c r="F8">
        <v>6055675.9367778199</v>
      </c>
      <c r="G8">
        <v>6209404.8714239197</v>
      </c>
      <c r="H8">
        <v>6365126.7029758999</v>
      </c>
      <c r="I8">
        <v>6524024.1768557299</v>
      </c>
      <c r="J8">
        <v>6687196.0244410001</v>
      </c>
      <c r="K8">
        <v>6855102.6602447703</v>
      </c>
    </row>
    <row r="9" spans="1:11" x14ac:dyDescent="0.2">
      <c r="A9" t="s">
        <v>8</v>
      </c>
      <c r="B9">
        <v>0.95371899888837497</v>
      </c>
      <c r="C9">
        <v>0.91531275653436595</v>
      </c>
      <c r="D9">
        <v>0.88171690920872703</v>
      </c>
      <c r="E9">
        <v>0.85121155915162205</v>
      </c>
      <c r="F9">
        <v>0.82281839425538295</v>
      </c>
      <c r="G9">
        <v>0.795973486312891</v>
      </c>
      <c r="H9">
        <v>0.770346368745776</v>
      </c>
      <c r="I9">
        <v>0.74573884618387398</v>
      </c>
      <c r="J9">
        <v>0.72202800370507803</v>
      </c>
      <c r="K9">
        <v>0.69913397330904103</v>
      </c>
    </row>
    <row r="10" spans="1:11" x14ac:dyDescent="0.2">
      <c r="A10" t="s">
        <v>9</v>
      </c>
      <c r="B10">
        <v>24244274.085692901</v>
      </c>
      <c r="C10">
        <v>23818786.1632904</v>
      </c>
      <c r="D10">
        <v>23517101.694454201</v>
      </c>
      <c r="E10">
        <v>23286606.490665</v>
      </c>
      <c r="F10">
        <v>23088687.1566783</v>
      </c>
      <c r="G10">
        <v>22902410.8281819</v>
      </c>
      <c r="H10">
        <v>22720909.606195699</v>
      </c>
      <c r="I10">
        <v>22544206.266841501</v>
      </c>
      <c r="J10">
        <v>22373334.566603299</v>
      </c>
      <c r="K10">
        <v>22207874.3016783</v>
      </c>
    </row>
    <row r="11" spans="1:11" x14ac:dyDescent="0.2">
      <c r="A11" t="s">
        <v>10</v>
      </c>
      <c r="B11">
        <v>14546564.4475138</v>
      </c>
      <c r="C11">
        <v>14291271.694140799</v>
      </c>
      <c r="D11">
        <v>14110261.012887601</v>
      </c>
      <c r="E11">
        <v>13971963.8906512</v>
      </c>
      <c r="F11">
        <v>13853212.290291</v>
      </c>
      <c r="G11">
        <v>13741446.4932232</v>
      </c>
      <c r="H11">
        <v>13632545.760060599</v>
      </c>
      <c r="I11">
        <v>13526523.756476499</v>
      </c>
      <c r="J11">
        <v>13424000.7363612</v>
      </c>
      <c r="K11">
        <v>13324724.5774328</v>
      </c>
    </row>
    <row r="12" spans="1:11" x14ac:dyDescent="0.2">
      <c r="A12" t="s">
        <v>11</v>
      </c>
      <c r="B12">
        <v>7273282.2257078802</v>
      </c>
      <c r="C12">
        <v>7145635.8489871202</v>
      </c>
      <c r="D12">
        <v>7055130.5083362702</v>
      </c>
      <c r="E12">
        <v>6985981.9471995002</v>
      </c>
      <c r="F12">
        <v>6926606.1470034802</v>
      </c>
      <c r="G12">
        <v>6870723.2484545801</v>
      </c>
      <c r="H12">
        <v>6816272.8818587102</v>
      </c>
      <c r="I12">
        <v>6763261.8800524399</v>
      </c>
      <c r="J12">
        <v>6712000.3699810002</v>
      </c>
      <c r="K12">
        <v>6662362.2905035</v>
      </c>
    </row>
    <row r="13" spans="1:11" x14ac:dyDescent="0.2">
      <c r="A13" t="s">
        <v>12</v>
      </c>
      <c r="B13">
        <v>5232106.3619411699</v>
      </c>
      <c r="C13">
        <v>5140282.6984294103</v>
      </c>
      <c r="D13">
        <v>5075176.8007185804</v>
      </c>
      <c r="E13">
        <v>5025434.1102226702</v>
      </c>
      <c r="F13">
        <v>4982721.5504304897</v>
      </c>
      <c r="G13">
        <v>4942521.6434355499</v>
      </c>
      <c r="H13">
        <v>4903352.2422442501</v>
      </c>
      <c r="I13">
        <v>4865218.2621240905</v>
      </c>
      <c r="J13">
        <v>4828342.7959116697</v>
      </c>
      <c r="K13">
        <v>4792635.1602983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Sheet6</vt:lpstr>
      <vt:lpstr>BI</vt:lpstr>
      <vt:lpstr>CL_no_gold_plat</vt:lpstr>
      <vt:lpstr>EF</vt:lpstr>
      <vt:lpstr>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Mane</dc:creator>
  <cp:lastModifiedBy>Atharva Mane</cp:lastModifiedBy>
  <dcterms:created xsi:type="dcterms:W3CDTF">2026-03-12T10:55:12Z</dcterms:created>
  <dcterms:modified xsi:type="dcterms:W3CDTF">2026-03-12T11:42:12Z</dcterms:modified>
</cp:coreProperties>
</file>